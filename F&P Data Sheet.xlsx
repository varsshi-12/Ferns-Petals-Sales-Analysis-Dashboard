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arsh\OneDrive\Desktop\Ferns and Petals Sales Analysis\"/>
    </mc:Choice>
  </mc:AlternateContent>
  <xr:revisionPtr revIDLastSave="0" documentId="8_{B05BEDAE-DBEE-4080-9143-079535794369}" xr6:coauthVersionLast="47" xr6:coauthVersionMax="47" xr10:uidLastSave="{00000000-0000-0000-0000-000000000000}"/>
  <bookViews>
    <workbookView xWindow="-108" yWindow="-108" windowWidth="23256" windowHeight="12456" xr2:uid="{B525DAE6-22F2-42E5-B2C6-E66273AB3D1D}"/>
  </bookViews>
  <sheets>
    <sheet name="Sheet1" sheetId="1" r:id="rId1"/>
  </sheets>
  <externalReferences>
    <externalReference r:id="rId2"/>
  </externalReferences>
  <calcPr calcId="191029"/>
  <pivotCaches>
    <pivotCache cacheId="11" r:id="rId3"/>
    <pivotCache cacheId="13" r:id="rId4"/>
    <pivotCache cacheId="15" r:id="rId5"/>
    <pivotCache cacheId="17" r:id="rId6"/>
    <pivotCache cacheId="19" r:id="rId7"/>
    <pivotCache cacheId="21" r:id="rId8"/>
    <pivotCache cacheId="23" r:id="rId9"/>
    <pivotCache cacheId="25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-220663e4-26e4-4f55-8106-8940984c4d35" name="Orders" connection="Query - Orders"/>
          <x15:modelTable id="Products-af26c408-81af-4071-826b-23bf9b449e10" name="Products" connection="Query - Products (2)"/>
          <x15:modelTable id="Customers-578fe90d-68a4-447f-bb98-29eb85ca85f7" name="Customers" connection="Query - Customers"/>
        </x15:modelTables>
        <x15:modelRelationships>
          <x15:modelRelationship fromTable="Orders" fromColumn="Customer_ID" toTable="Customers" toColumn="Customer_ID"/>
          <x15:modelRelationship fromTable="Orders" fromColumn="Product_ID" toTable="Products" toColumn="Product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40C5BD-C713-466A-AEA4-0AD65797F4DB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2d5f3634-bea2-495a-b7cc-c78b5603d33c">
          <x15:oledbPr connection="Provider=Microsoft.Mashup.OleDb.1;Data Source=$Workbook$;Location=Customers;Extended Properties=&quot;&quot;">
            <x15:dbTables>
              <x15:dbTable name="Customers"/>
            </x15:dbTables>
          </x15:oledbPr>
        </x15:connection>
      </ext>
    </extLst>
  </connection>
  <connection id="2" xr16:uid="{3E8338D6-C47B-4B12-84DD-E2FB0A3F6055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d08f94b1-2359-44fc-b18f-d217ec9b3af3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3" xr16:uid="{F8B992BF-B944-4D9F-B5E8-9E25CA612168}" keepAlive="1" name="Query - Products" description="Connection to the 'Products' query in the workbook." type="5" refreshedVersion="0" background="1">
    <dbPr connection="Provider=Microsoft.Mashup.OleDb.1;Data Source=$Workbook$;Location=Products;Extended Properties=&quot;&quot;" command="SELECT * FROM [Products]"/>
  </connection>
  <connection id="4" xr16:uid="{E4D22D4F-C600-43F7-847E-5E089DE687FA}" name="Query - Products (2)" description="Connection to the 'Products (2)' query in the workbook." type="100" refreshedVersion="8" minRefreshableVersion="5">
    <extLst>
      <ext xmlns:x15="http://schemas.microsoft.com/office/spreadsheetml/2010/11/main" uri="{DE250136-89BD-433C-8126-D09CA5730AF9}">
        <x15:connection id="f12b1d14-138b-4146-ac24-c7554dcc3ad1">
          <x15:oledbPr connection="Provider=Microsoft.Mashup.OleDb.1;Data Source=$Workbook$;Location=&quot;Products (2)&quot;;Extended Properties=&quot;&quot;">
            <x15:dbTables>
              <x15:dbTable name="Products (2)"/>
            </x15:dbTables>
          </x15:oledbPr>
        </x15:connection>
      </ext>
    </extLst>
  </connection>
  <connection id="5" xr16:uid="{4F9A72F6-BCD3-4B36-9634-B5AEF48A5A4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<sst xmlns="http://schemas.openxmlformats.org/spreadsheetml/2006/main" count="63" uniqueCount="47">
  <si>
    <t>Grand Total</t>
  </si>
  <si>
    <t>Sum of Revenue</t>
  </si>
  <si>
    <t>Row Labels</t>
  </si>
  <si>
    <t>Anniversary</t>
  </si>
  <si>
    <t>North Dumdum</t>
  </si>
  <si>
    <t>Raksha Bandhan</t>
  </si>
  <si>
    <t>Kavali</t>
  </si>
  <si>
    <t>All Occasions</t>
  </si>
  <si>
    <t>Imphal</t>
  </si>
  <si>
    <t>Holi</t>
  </si>
  <si>
    <t>Haridwar</t>
  </si>
  <si>
    <t>Sweets</t>
  </si>
  <si>
    <t>Birthday</t>
  </si>
  <si>
    <t>Guntakal</t>
  </si>
  <si>
    <t>Soft Toys</t>
  </si>
  <si>
    <t>Valentine's Day</t>
  </si>
  <si>
    <t>Dibrugarh</t>
  </si>
  <si>
    <t>Diwali</t>
  </si>
  <si>
    <t>Dhanbad</t>
  </si>
  <si>
    <t>Plants</t>
  </si>
  <si>
    <t>Bilaspur</t>
  </si>
  <si>
    <t>Mugs</t>
  </si>
  <si>
    <t>Bidhannagar</t>
  </si>
  <si>
    <t>Colors</t>
  </si>
  <si>
    <t>Bhatpara</t>
  </si>
  <si>
    <t>Cake</t>
  </si>
  <si>
    <t>Count of Order_ID</t>
  </si>
  <si>
    <t>December</t>
  </si>
  <si>
    <t>Quia Gift</t>
  </si>
  <si>
    <t>November</t>
  </si>
  <si>
    <t>Magnam Set</t>
  </si>
  <si>
    <t>October</t>
  </si>
  <si>
    <t>Harum Pack</t>
  </si>
  <si>
    <t>September</t>
  </si>
  <si>
    <t>Dolores Gift</t>
  </si>
  <si>
    <t>August</t>
  </si>
  <si>
    <t>Deserunt Box</t>
  </si>
  <si>
    <t>July</t>
  </si>
  <si>
    <t>June</t>
  </si>
  <si>
    <t>May</t>
  </si>
  <si>
    <t>April</t>
  </si>
  <si>
    <t>March</t>
  </si>
  <si>
    <t>February</t>
  </si>
  <si>
    <t>January</t>
  </si>
  <si>
    <t>Total Orders Placed</t>
  </si>
  <si>
    <t>Average of Customer Spending</t>
  </si>
  <si>
    <t>Average of no.of_days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</si>
</sst>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8.xml"/><Relationship Id="rId4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E5FFE057F172458/Documents/Dashboard.xlsx" TargetMode="External"/><Relationship Id="rId1" Type="http://schemas.openxmlformats.org/officeDocument/2006/relationships/externalLinkPath" Target="https://d.docs.live.net/CE5FFE057F172458/Documents/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&amp;P Datasets"/>
      <sheetName val="Customers"/>
      <sheetName val="Orders"/>
      <sheetName val="Products"/>
      <sheetName val="Dashboard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7638886" backgroundQuery="1" createdVersion="8" refreshedVersion="8" minRefreshableVersion="3" recordCount="0" supportSubquery="1" supportAdvancedDrill="1" xr:uid="{10B97AD1-AD46-4D0C-A6F5-9345177E0D92}">
  <cacheSource type="external" connectionId="5"/>
  <cacheFields count="2">
    <cacheField name="[Measures].[Sum of Revenue]" caption="Sum of Revenue" numFmtId="0" hierarchy="35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8796295" backgroundQuery="1" createdVersion="8" refreshedVersion="8" minRefreshableVersion="3" recordCount="0" supportSubquery="1" supportAdvancedDrill="1" xr:uid="{87881B7E-C390-49D2-B0D8-8F81E85BCE4C}">
  <cacheSource type="external" connectionId="5"/>
  <cacheFields count="3"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Average of Revenue]" caption="Average of Revenue" numFmtId="0" hierarchy="38" level="32767"/>
    <cacheField name="[Measures].[Count of Order_ID]" caption="Count of Order_ID" numFmtId="0" hierarchy="40" level="32767"/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7986109" backgroundQuery="1" createdVersion="8" refreshedVersion="8" minRefreshableVersion="3" recordCount="0" supportSubquery="1" supportAdvancedDrill="1" xr:uid="{6C63CE48-1FEB-49BD-905E-82AF432771A7}">
  <cacheSource type="external" connectionId="5"/>
  <cacheFields count="2">
    <cacheField name="[Measures].[Sum of Revenue]" caption="Sum of Revenue" numFmtId="0" hierarchy="35" level="32767"/>
    <cacheField name="[Measures].[Average of no.of_days]" caption="Average of no.of_days" numFmtId="0" hierarchy="37" level="32767"/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6944447" backgroundQuery="1" createdVersion="8" refreshedVersion="8" minRefreshableVersion="3" recordCount="0" supportSubquery="1" supportAdvancedDrill="1" xr:uid="{4B30AA4B-D2EA-438D-9DC7-D1864DB0D069}">
  <cacheSource type="external" connectionId="5"/>
  <cacheFields count="5">
    <cacheField name="[Measures].[Sum of Revenue]" caption="Sum of Revenue" numFmtId="0" hierarchy="35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25" level="1">
      <sharedItems count="5">
        <s v="Deserunt Box"/>
        <s v="Dolores Gift"/>
        <s v="Harum Pack"/>
        <s v="Magnam Set"/>
        <s v="Quia Gift"/>
      </sharedItems>
    </cacheField>
    <cacheField name="[Orders].[Name(Order_Date)].[Name(Order_Date)]" caption="Name(Order_Date)" numFmtId="0" hierarchy="23" level="1">
      <sharedItems count="7">
        <s v="Friday"/>
        <s v="Monday"/>
        <s v="Saturday"/>
        <s v="Sunday"/>
        <s v="Thursday"/>
        <s v="Tuesday"/>
        <s v="Wednesday"/>
      </sharedItems>
    </cacheField>
    <cacheField name="[Orders].[Hour(Order Time)].[Hour(Order Time)]" caption="Hour(Order Time)" numFmtId="0" hierarchy="18" level="1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  <extLst>
        <ext xmlns:x15="http://schemas.microsoft.com/office/spreadsheetml/2010/11/main" uri="{4F2E5C28-24EA-4eb8-9CBF-B6C8F9C3D259}">
          <x15:cachedUniqueNames>
            <x15:cachedUniqueName index="0" name="[Orders].[Hour(Order Time)].&amp;[0]"/>
            <x15:cachedUniqueName index="1" name="[Orders].[Hour(Order Time)].&amp;[1]"/>
            <x15:cachedUniqueName index="2" name="[Orders].[Hour(Order Time)].&amp;[2]"/>
            <x15:cachedUniqueName index="3" name="[Orders].[Hour(Order Time)].&amp;[3]"/>
            <x15:cachedUniqueName index="4" name="[Orders].[Hour(Order Time)].&amp;[4]"/>
            <x15:cachedUniqueName index="5" name="[Orders].[Hour(Order Time)].&amp;[5]"/>
            <x15:cachedUniqueName index="6" name="[Orders].[Hour(Order Time)].&amp;[6]"/>
            <x15:cachedUniqueName index="7" name="[Orders].[Hour(Order Time)].&amp;[7]"/>
            <x15:cachedUniqueName index="8" name="[Orders].[Hour(Order Time)].&amp;[8]"/>
            <x15:cachedUniqueName index="9" name="[Orders].[Hour(Order Time)].&amp;[9]"/>
            <x15:cachedUniqueName index="10" name="[Orders].[Hour(Order Time)].&amp;[10]"/>
            <x15:cachedUniqueName index="11" name="[Orders].[Hour(Order Time)].&amp;[11]"/>
            <x15:cachedUniqueName index="12" name="[Orders].[Hour(Order Time)].&amp;[12]"/>
            <x15:cachedUniqueName index="13" name="[Orders].[Hour(Order Time)].&amp;[13]"/>
            <x15:cachedUniqueName index="14" name="[Orders].[Hour(Order Time)].&amp;[14]"/>
            <x15:cachedUniqueName index="15" name="[Orders].[Hour(Order Time)].&amp;[15]"/>
            <x15:cachedUniqueName index="16" name="[Orders].[Hour(Order Time)].&amp;[16]"/>
            <x15:cachedUniqueName index="17" name="[Orders].[Hour(Order Time)].&amp;[17]"/>
            <x15:cachedUniqueName index="18" name="[Orders].[Hour(Order Time)].&amp;[18]"/>
            <x15:cachedUniqueName index="19" name="[Orders].[Hour(Order Time)].&amp;[19]"/>
            <x15:cachedUniqueName index="20" name="[Orders].[Hour(Order Time)].&amp;[20]"/>
            <x15:cachedUniqueName index="21" name="[Orders].[Hour(Order Time)].&amp;[21]"/>
            <x15:cachedUniqueName index="22" name="[Orders].[Hour(Order Time)].&amp;[22]"/>
            <x15:cachedUniqueName index="23" name="[Orders].[Hour(Order Time)].&amp;[23]"/>
          </x15:cachedUniqueNames>
        </ext>
      </extLst>
    </cacheField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2" memberValueDatatype="20" unbalanced="0">
      <fieldsUsage count="2">
        <fieldUsage x="-1"/>
        <fieldUsage x="4"/>
      </fieldsUsage>
    </cacheHierarchy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2" memberValueDatatype="130" unbalanced="0">
      <fieldsUsage count="2">
        <fieldUsage x="-1"/>
        <fieldUsage x="3"/>
      </fieldsUsage>
    </cacheHierarchy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10648149" backgroundQuery="1" createdVersion="8" refreshedVersion="8" minRefreshableVersion="3" recordCount="0" supportSubquery="1" supportAdvancedDrill="1" xr:uid="{66AB0A1C-ECC4-444D-BF21-1FFB445E5E1D}">
  <cacheSource type="external" connectionId="5"/>
  <cacheFields count="3">
    <cacheField name="[Measures].[Sum of Revenue]" caption="Sum of Revenue" numFmtId="0" hierarchy="35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Category].[Category]" caption="Category" numFmtId="0" hierarchy="26" level="1">
      <sharedItems count="7">
        <s v="Cake"/>
        <s v="Colors"/>
        <s v="Mugs"/>
        <s v="Plants"/>
        <s v="Raksha Bandhan"/>
        <s v="Soft Toys"/>
        <s v="Sweets"/>
      </sharedItems>
    </cacheField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960648" backgroundQuery="1" createdVersion="8" refreshedVersion="8" minRefreshableVersion="3" recordCount="0" supportSubquery="1" supportAdvancedDrill="1" xr:uid="{EED37584-75A3-4BDC-9441-30405400AA4B}">
  <cacheSource type="external" connectionId="5"/>
  <cacheFields count="2">
    <cacheField name="[Customers].[City].[City]" caption="City" numFmtId="0" hierarchy="2" level="1">
      <sharedItems count="10">
        <s v="Bhatpara"/>
        <s v="Bidhannagar"/>
        <s v="Bilaspur"/>
        <s v="Dhanbad"/>
        <s v="Dibrugarh"/>
        <s v="Guntakal"/>
        <s v="Haridwar"/>
        <s v="Imphal"/>
        <s v="Kavali"/>
        <s v="North Dumdum"/>
      </sharedItems>
    </cacheField>
    <cacheField name="[Measures].[Count of Order_ID]" caption="Count of Order_ID" numFmtId="0" hierarchy="40" level="32767"/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0" memberValueDatatype="130" unbalanced="0"/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405861458334" backgroundQuery="1" createdVersion="8" refreshedVersion="8" minRefreshableVersion="3" recordCount="0" supportSubquery="1" supportAdvancedDrill="1" xr:uid="{24FE54E2-3221-4F84-8616-D90DAB7A4084}">
  <cacheSource type="external" connectionId="5"/>
  <cacheFields count="3">
    <cacheField name="[Measures].[Sum of Revenue]" caption="Sum of Revenue" numFmtId="0" hierarchy="35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Occasion].[Occasion]" caption="Occasion" numFmtId="0" hierarchy="28" level="1">
      <sharedItems count="7">
        <s v="All Occasions"/>
        <s v="Anniversary"/>
        <s v="Birthday"/>
        <s v="Diwali"/>
        <s v="Holi"/>
        <s v="Raksha Bandhan"/>
        <s v="Valentine's Day"/>
      </sharedItems>
    </cacheField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2" memberValueDatatype="130" unbalanced="0">
      <fieldsUsage count="2">
        <fieldUsage x="-1"/>
        <fieldUsage x="2"/>
      </fieldsUsage>
    </cacheHierarchy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ya Varshini" refreshedDate="46070.366508449071" backgroundQuery="1" createdVersion="8" refreshedVersion="8" minRefreshableVersion="3" recordCount="0" supportSubquery="1" supportAdvancedDrill="1" xr:uid="{85B7AE89-A544-49A8-A163-512E2F1EBFF1}">
  <cacheSource type="external" connectionId="5"/>
  <cacheFields count="3">
    <cacheField name="[Measures].[Sum of Revenue]" caption="Sum of Revenue" numFmtId="0" hierarchy="35" level="32767"/>
    <cacheField name="[Orders].[Month Name].[Month Name]" caption="Month Name" numFmtId="0" hierarchy="17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Products].[Product_Name].[Product_Name]" caption="Product_Name" numFmtId="0" hierarchy="25" level="1">
      <sharedItems count="5">
        <s v="Deserunt Box"/>
        <s v="Dolores Gift"/>
        <s v="Harum Pack"/>
        <s v="Magnam Set"/>
        <s v="Quia Gift"/>
      </sharedItems>
    </cacheField>
  </cacheFields>
  <cacheHierarchies count="43">
    <cacheHierarchy uniqueName="[Customers].[Customer_ID]" caption="Customer_ID" attribute="1" defaultMemberUniqueName="[Customers].[Customer_ID].[All]" allUniqueName="[Customers].[Customer_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Contact_Number]" caption="Contact_Number" attribute="1" defaultMemberUniqueName="[Customers].[Contact_Number].[All]" allUniqueName="[Customers].[Contact_Number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ddress]" caption="Address" attribute="1" defaultMemberUniqueName="[Customers].[Address].[All]" allUniqueName="[Customers].[Address].[All]" dimensionUniqueName="[Customers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2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Product_ID]" caption="Product_ID" attribute="1" defaultMemberUniqueName="[Orders].[Product_ID].[All]" allUniqueName="[Orders].[Product_ID].[All]" dimensionUniqueName="[Orders]" displayFolder="" count="0" memberValueDatatype="20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Order_Time]" caption="Order_Time" attribute="1" time="1" defaultMemberUniqueName="[Orders].[Order_Time].[All]" allUniqueName="[Orders].[Order_Time].[All]" dimensionUniqueName="[Orders]" displayFolder="" count="0" memberValueDatatype="7" unbalanced="0"/>
    <cacheHierarchy uniqueName="[Orders].[Delivery_Date]" caption="Delivery_Date" attribute="1" time="1" defaultMemberUniqueName="[Orders].[Delivery_Date].[All]" allUniqueName="[Orders].[Delivery_Date].[All]" dimensionUniqueName="[Orders]" displayFolder="" count="0" memberValueDatatype="7" unbalanced="0"/>
    <cacheHierarchy uniqueName="[Orders].[Delivery_Time]" caption="Delivery_Time" attribute="1" time="1" defaultMemberUniqueName="[Orders].[Delivery_Time].[All]" allUniqueName="[Orders].[Delivery_Time].[All]" dimensionUniqueName="[Orders]" displayFolder="" count="0" memberValueDatatype="7" unbalanced="0"/>
    <cacheHierarchy uniqueName="[Orders].[Location]" caption="Location" attribute="1" defaultMemberUniqueName="[Orders].[Location].[All]" allUniqueName="[Orders].[Location].[All]" dimensionUniqueName="[Orders]" displayFolder="" count="0" memberValueDatatype="130" unbalanced="0"/>
    <cacheHierarchy uniqueName="[Orders].[Occasion]" caption="Occasion" attribute="1" defaultMemberUniqueName="[Orders].[Occasion].[All]" allUniqueName="[Orders].[Occasion].[All]" dimensionUniqueName="[Orders]" displayFolder="" count="0" memberValueDatatype="130" unbalanced="0"/>
    <cacheHierarchy uniqueName="[Orders].[Month Name]" caption="Month Name" attribute="1" defaultMemberUniqueName="[Orders].[Month Name].[All]" allUniqueName="[Orders].[Month Name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Hour(Order Time)]" caption="Hour(Order Time)" attribute="1" defaultMemberUniqueName="[Orders].[Hour(Order Time)].[All]" allUniqueName="[Orders].[Hour(Order Time)].[All]" dimensionUniqueName="[Orders]" displayFolder="" count="0" memberValueDatatype="20" unbalanced="0"/>
    <cacheHierarchy uniqueName="[Orders].[no.of_days]" caption="no.of_days" attribute="1" defaultMemberUniqueName="[Orders].[no.of_days].[All]" allUniqueName="[Orders].[no.of_days].[All]" dimensionUniqueName="[Orders]" displayFolder="" count="0" memberValueDatatype="20" unbalanced="0"/>
    <cacheHierarchy uniqueName="[Orders].[Hour(Delivery Time)]" caption="Hour(Delivery Time)" attribute="1" defaultMemberUniqueName="[Orders].[Hour(Delivery Time)].[All]" allUniqueName="[Orders].[Hour(Delivery Time)].[All]" dimensionUniqueName="[Orders]" displayFolder="" count="0" memberValueDatatype="20" unbalanced="0"/>
    <cacheHierarchy uniqueName="[Orders].[Price (INR)]" caption="Price (INR)" attribute="1" defaultMemberUniqueName="[Orders].[Price (INR)].[All]" allUniqueName="[Orders].[Price (INR)].[All]" dimensionUniqueName="[Orders]" displayFolder="" count="0" memberValueDatatype="6" unbalanced="0"/>
    <cacheHierarchy uniqueName="[Orders].[Revenue]" caption="Revenue" attribute="1" defaultMemberUniqueName="[Orders].[Revenue].[All]" allUniqueName="[Orders].[Revenue].[All]" dimensionUniqueName="[Orders]" displayFolder="" count="0" memberValueDatatype="6" unbalanced="0"/>
    <cacheHierarchy uniqueName="[Orders].[Name(Order_Date)]" caption="Name(Order_Date)" attribute="1" defaultMemberUniqueName="[Orders].[Name(Order_Date)].[All]" allUniqueName="[Orders].[Name(Order_Date)].[All]" dimensionUniqueName="[Orders]" displayFolder="" count="0" memberValueDatatype="13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20" unbalanced="0"/>
    <cacheHierarchy uniqueName="[Products].[Product_Name]" caption="Product_Name" attribute="1" defaultMemberUniqueName="[Products].[Product_Name].[All]" allUniqueName="[Products].[Product_Name].[All]" dimensionUniqueName="[Products]" displayFolder="" count="2" memberValueDatatype="130" unbalanced="0">
      <fieldsUsage count="2">
        <fieldUsage x="-1"/>
        <fieldUsage x="2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Price (INR)]" caption="Price (INR)" attribute="1" defaultMemberUniqueName="[Products].[Price (INR)].[All]" allUniqueName="[Products].[Price (INR)].[All]" dimensionUniqueName="[Products]" displayFolder="" count="0" memberValueDatatype="20" unbalanced="0"/>
    <cacheHierarchy uniqueName="[Products].[Occasion]" caption="Occasion" attribute="1" defaultMemberUniqueName="[Products].[Occasion].[All]" allUniqueName="[Products].[Occasion].[All]" dimensionUniqueName="[Products]" displayFolder="" count="0" memberValueDatatype="130" unbalanced="0"/>
    <cacheHierarchy uniqueName="[Measures].[Total Revenue]" caption="Total Revenu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ducts]" caption="__XL_Count Products" measure="1" displayFolder="" measureGroup="Products" count="0" hidden="1"/>
    <cacheHierarchy uniqueName="[Measures].[__XL_Count Customers]" caption="__XL_Count Customers" measure="1" displayFolder="" measureGroup="Customers" count="0" hidden="1"/>
    <cacheHierarchy uniqueName="[Measures].[__No measures defined]" caption="__No measures defined" measure="1" displayFolder="" count="0" hidden="1"/>
    <cacheHierarchy uniqueName="[Measures].[Sum of Price (INR)]" caption="Sum of Price (INR)" measure="1" displayFolder="" measureGroup="Orders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Revenue]" caption="Sum of Revenue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no.of_days]" caption="Sum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no.of_days]" caption="Average of no.of_days" measure="1" displayFolder="" measureGroup="Order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Revenue]" caption="Average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Order_ID]" caption="Sum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Order_ID]" caption="Count of Order_ID" measure="1" displayFolder="" measureGroup="Order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Hour(Order Time)]" caption="Sum of Hour(Order Time)" measure="1" displayFolder="" measureGroup="Orders" count="0" hidden="1"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Revenue]" caption="Count of 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s" uniqueName="[Products]" caption="Products"/>
  </dimensions>
  <measureGroups count="3">
    <measureGroup name="Customers" caption="Customers"/>
    <measureGroup name="Orders" caption="Orders"/>
    <measureGroup name="Products" caption="Products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95392-6706-477D-BE9D-9EDEFFCC2B82}" name="PivotTable4" cacheId="25" applyNumberFormats="0" applyBorderFormats="0" applyFontFormats="0" applyPatternFormats="0" applyAlignmentFormats="0" applyWidthHeightFormats="1" dataCaption="Values" tag="9e4139d6-5319-4e1c-b59a-c08ce90e38d7" updatedVersion="8" minRefreshableVersion="3" useAutoFormatting="1" subtotalHiddenItems="1" itemPrintTitles="1" createdVersion="8" indent="0" outline="1" outlineData="1" multipleFieldFilters="0" chartFormat="5">
  <location ref="E7:F13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3B7E7-BE54-4F79-895C-77E50753A58B}" name="PivotTable9" cacheId="23" applyNumberFormats="0" applyBorderFormats="0" applyFontFormats="0" applyPatternFormats="0" applyAlignmentFormats="0" applyWidthHeightFormats="1" dataCaption="Values" tag="a15336e1-ff91-441e-94ab-2a6b6951439f" updatedVersion="8" minRefreshableVersion="3" useAutoFormatting="1" subtotalHiddenItems="1" itemPrintTitles="1" createdVersion="8" indent="0" outline="1" outlineData="1" multipleFieldFilters="0" chartFormat="12">
  <location ref="H21:I29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sortType="ascending" defaultSubtotal="0" defaultAttributeDrillState="1">
      <items count="7">
        <item x="0"/>
        <item x="1"/>
        <item x="2"/>
        <item x="3"/>
        <item x="4"/>
        <item x="5"/>
        <item x="6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8">
    <i>
      <x v="3"/>
    </i>
    <i>
      <x v="6"/>
    </i>
    <i>
      <x v="2"/>
    </i>
    <i>
      <x v="4"/>
    </i>
    <i>
      <x/>
    </i>
    <i>
      <x v="5"/>
    </i>
    <i>
      <x v="1"/>
    </i>
    <i t="grand">
      <x/>
    </i>
  </rowItems>
  <colItems count="1">
    <i/>
  </colItems>
  <dataFields count="1">
    <dataField name="Sum of Revenue" fld="0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F38B72-4F92-430D-BDD1-F406347B10F0}" name="PivotTable8" cacheId="21" applyNumberFormats="0" applyBorderFormats="0" applyFontFormats="0" applyPatternFormats="0" applyAlignmentFormats="0" applyWidthHeightFormats="1" dataCaption="Values" tag="826514a0-b33c-4c80-8d9c-6b340b06abda" updatedVersion="8" minRefreshableVersion="3" useAutoFormatting="1" subtotalHiddenItems="1" itemPrintTitles="1" createdVersion="8" indent="0" outline="1" outlineData="1" multipleFieldFilters="0" chartFormat="9">
  <location ref="E18:F29" firstHeaderRow="1" firstDataRow="1" firstDataCol="1"/>
  <pivotFields count="2"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1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Order_ID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40">
      <autoFilter ref="A1">
        <filterColumn colId="0">
          <top10 val="10" filterVal="10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37BE31-CA0C-49B1-9114-555F318E179A}" name="PivotTable6" cacheId="19" applyNumberFormats="0" applyBorderFormats="0" applyFontFormats="0" applyPatternFormats="0" applyAlignmentFormats="0" applyWidthHeightFormats="1" dataCaption="Values" tag="81beb057-2b33-4067-a56a-cef6ea3f6ca3" updatedVersion="8" minRefreshableVersion="3" useAutoFormatting="1" subtotalHiddenItems="1" itemPrintTitles="1" createdVersion="8" indent="0" outline="1" outlineData="1" multipleFieldFilters="0" chartFormat="11">
  <location ref="B18:C26" firstHeaderRow="1" firstDataRow="1" firstDataCol="1"/>
  <pivotFields count="3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0" baseField="0" baseItem="0"/>
  </dataField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815C8-13D2-4B8B-9589-6ACF8FE9AEDB}" name="PivotTable1" cacheId="17" applyNumberFormats="0" applyBorderFormats="0" applyFontFormats="0" applyPatternFormats="0" applyAlignmentFormats="0" applyWidthHeightFormats="1" dataCaption="Values" tag="8d30eb3e-5f73-4bea-8abf-faf05fb14a97" updatedVersion="8" minRefreshableVersion="3" useAutoFormatting="1" subtotalHiddenItems="1" itemPrintTitles="1" createdVersion="8" indent="0" outline="1" outlineData="1" multipleFieldFilters="0" chartFormat="16">
  <location ref="B31:C56" firstHeaderRow="1" firstDataRow="1" firstDataCol="1"/>
  <pivotFields count="5">
    <pivotField dataField="1" subtotalTop="0" showAll="0" defaultSubtotal="0"/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sortType="ascending" defaultSubtotal="0" defaultAttributeDrillState="1">
      <items count="7">
        <item x="3"/>
        <item x="1"/>
        <item x="5"/>
        <item x="6"/>
        <item x="4"/>
        <item x="0"/>
        <item x="2"/>
      </items>
    </pivotField>
    <pivotField axis="axisRow" allDrilled="1" subtotalTop="0" showAll="0" sortType="ascending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Revenue" fld="0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2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F887C-6806-4BB2-8FB8-E95782CECC3B}" name="PivotTable3" cacheId="15" applyNumberFormats="0" applyBorderFormats="0" applyFontFormats="0" applyPatternFormats="0" applyAlignmentFormats="0" applyWidthHeightFormats="1" dataCaption="Values" tag="ab9bfa1f-b144-49a2-80ba-e93a676ccf40" updatedVersion="8" minRefreshableVersion="3" useAutoFormatting="1" subtotalHiddenItems="1" itemPrintTitles="1" createdVersion="8" indent="0" outline="1" outlineData="1" multipleFieldFilters="0">
  <location ref="E1:F2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venue" fld="0" baseField="0" baseItem="0"/>
    <dataField name="Average of no.of_days" fld="1" subtotal="average" baseField="0" baseItem="1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no.of_days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4B133-915A-4567-8CBF-1BC3AB5702BA}" name="PivotTable5" cacheId="13" applyNumberFormats="0" applyBorderFormats="0" applyFontFormats="0" applyPatternFormats="0" applyAlignmentFormats="0" applyWidthHeightFormats="1" dataCaption="Values" tag="d971cd30-5030-4cda-a1fa-cdc3cad302b6" updatedVersion="8" minRefreshableVersion="3" useAutoFormatting="1" subtotalHiddenItems="1" itemPrintTitles="1" createdVersion="8" indent="0" outline="1" outlineData="1" multipleFieldFilters="0">
  <location ref="G1:H2" firstHeaderRow="0" firstDataRow="1" firstDataCol="0"/>
  <pivotFields count="3">
    <pivotField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Customer Spending" fld="1" subtotal="average" baseField="0" baseItem="0"/>
    <dataField name="Total Orders Placed" fld="2" subtotal="count" baseField="0" baseItem="1"/>
  </dataField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Customer Spending"/>
    <pivotHierarchy dragToData="1"/>
    <pivotHierarchy dragToData="1" caption="Total Orders Placed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CF842-588A-4DA5-8F8D-C3EF5B872FB0}" name="PivotTable2" cacheId="11" applyNumberFormats="0" applyBorderFormats="0" applyFontFormats="0" applyPatternFormats="0" applyAlignmentFormats="0" applyWidthHeightFormats="1" dataCaption="Values" tag="48a12c48-6e1d-400b-b8ed-9928b6016a90" updatedVersion="8" minRefreshableVersion="3" useAutoFormatting="1" subtotalHiddenItems="1" itemPrintTitles="1" createdVersion="8" indent="0" outline="1" outlineData="1" multipleFieldFilters="0" chartFormat="5">
  <location ref="B1:C14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0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4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s]"/>
        <x15:activeTabTopLevelEntity name="[Order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Blue Green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8CD3-16D0-4DC4-828F-2DF28B07004F}">
  <dimension ref="B1:I56"/>
  <sheetViews>
    <sheetView tabSelected="1" zoomScaleNormal="100" workbookViewId="0">
      <selection activeCell="G2" sqref="G2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4.88671875" bestFit="1" customWidth="1"/>
    <col min="4" max="4" width="22.5546875" bestFit="1" customWidth="1"/>
    <col min="5" max="5" width="13.6640625" bestFit="1" customWidth="1"/>
    <col min="6" max="6" width="16.44140625" bestFit="1" customWidth="1"/>
    <col min="7" max="7" width="27.44140625" bestFit="1" customWidth="1"/>
    <col min="8" max="8" width="14.44140625" bestFit="1" customWidth="1"/>
    <col min="9" max="10" width="14.88671875" bestFit="1" customWidth="1"/>
  </cols>
  <sheetData>
    <row r="1" spans="2:8" x14ac:dyDescent="0.3">
      <c r="B1" s="3" t="s">
        <v>2</v>
      </c>
      <c r="C1" t="s">
        <v>1</v>
      </c>
      <c r="E1" t="s">
        <v>1</v>
      </c>
      <c r="F1" t="s">
        <v>46</v>
      </c>
      <c r="G1" t="s">
        <v>45</v>
      </c>
      <c r="H1" t="s">
        <v>44</v>
      </c>
    </row>
    <row r="2" spans="2:8" x14ac:dyDescent="0.3">
      <c r="B2" s="2" t="s">
        <v>43</v>
      </c>
      <c r="C2" s="1">
        <v>95468</v>
      </c>
      <c r="E2" s="1">
        <v>3520984</v>
      </c>
      <c r="F2">
        <v>5.53</v>
      </c>
      <c r="G2" s="1">
        <v>3520.9839999999999</v>
      </c>
      <c r="H2">
        <v>1000</v>
      </c>
    </row>
    <row r="3" spans="2:8" x14ac:dyDescent="0.3">
      <c r="B3" s="2" t="s">
        <v>42</v>
      </c>
      <c r="C3" s="1">
        <v>704509</v>
      </c>
    </row>
    <row r="4" spans="2:8" x14ac:dyDescent="0.3">
      <c r="B4" s="2" t="s">
        <v>41</v>
      </c>
      <c r="C4" s="1">
        <v>511823</v>
      </c>
    </row>
    <row r="5" spans="2:8" x14ac:dyDescent="0.3">
      <c r="B5" s="2" t="s">
        <v>40</v>
      </c>
      <c r="C5" s="1">
        <v>140393</v>
      </c>
    </row>
    <row r="6" spans="2:8" x14ac:dyDescent="0.3">
      <c r="B6" s="2" t="s">
        <v>39</v>
      </c>
      <c r="C6" s="1">
        <v>150346</v>
      </c>
    </row>
    <row r="7" spans="2:8" x14ac:dyDescent="0.3">
      <c r="B7" s="2" t="s">
        <v>38</v>
      </c>
      <c r="C7" s="1">
        <v>157913</v>
      </c>
      <c r="E7" s="3" t="s">
        <v>2</v>
      </c>
      <c r="F7" t="s">
        <v>1</v>
      </c>
      <c r="H7">
        <f>CORREL([1]!Orders[Quantity],[1]!Orders[no.of_days])</f>
        <v>3.4781737193018245E-3</v>
      </c>
    </row>
    <row r="8" spans="2:8" x14ac:dyDescent="0.3">
      <c r="B8" s="2" t="s">
        <v>37</v>
      </c>
      <c r="C8" s="1">
        <v>135826</v>
      </c>
      <c r="E8" s="2" t="s">
        <v>36</v>
      </c>
      <c r="F8" s="1">
        <v>97665</v>
      </c>
    </row>
    <row r="9" spans="2:8" x14ac:dyDescent="0.3">
      <c r="B9" s="2" t="s">
        <v>35</v>
      </c>
      <c r="C9" s="1">
        <v>737389</v>
      </c>
      <c r="E9" s="2" t="s">
        <v>34</v>
      </c>
      <c r="F9" s="1">
        <v>106624</v>
      </c>
    </row>
    <row r="10" spans="2:8" x14ac:dyDescent="0.3">
      <c r="B10" s="2" t="s">
        <v>33</v>
      </c>
      <c r="C10" s="1">
        <v>136938</v>
      </c>
      <c r="E10" s="2" t="s">
        <v>32</v>
      </c>
      <c r="F10" s="1">
        <v>101556</v>
      </c>
    </row>
    <row r="11" spans="2:8" x14ac:dyDescent="0.3">
      <c r="B11" s="2" t="s">
        <v>31</v>
      </c>
      <c r="C11" s="1">
        <v>151619</v>
      </c>
      <c r="E11" s="2" t="s">
        <v>30</v>
      </c>
      <c r="F11" s="1">
        <v>121905</v>
      </c>
    </row>
    <row r="12" spans="2:8" x14ac:dyDescent="0.3">
      <c r="B12" s="2" t="s">
        <v>29</v>
      </c>
      <c r="C12" s="1">
        <v>449169</v>
      </c>
      <c r="E12" s="2" t="s">
        <v>28</v>
      </c>
      <c r="F12" s="1">
        <v>114476</v>
      </c>
    </row>
    <row r="13" spans="2:8" x14ac:dyDescent="0.3">
      <c r="B13" s="2" t="s">
        <v>27</v>
      </c>
      <c r="C13" s="1">
        <v>149591</v>
      </c>
      <c r="E13" s="2" t="s">
        <v>0</v>
      </c>
      <c r="F13" s="1">
        <v>542226</v>
      </c>
    </row>
    <row r="14" spans="2:8" x14ac:dyDescent="0.3">
      <c r="B14" s="2" t="s">
        <v>0</v>
      </c>
      <c r="C14" s="1">
        <v>3520984</v>
      </c>
    </row>
    <row r="18" spans="2:9" x14ac:dyDescent="0.3">
      <c r="B18" s="3" t="s">
        <v>2</v>
      </c>
      <c r="C18" t="s">
        <v>1</v>
      </c>
      <c r="E18" s="3" t="s">
        <v>2</v>
      </c>
      <c r="F18" t="s">
        <v>26</v>
      </c>
    </row>
    <row r="19" spans="2:9" x14ac:dyDescent="0.3">
      <c r="B19" s="2" t="s">
        <v>25</v>
      </c>
      <c r="C19" s="1">
        <v>329862</v>
      </c>
      <c r="E19" s="2" t="s">
        <v>24</v>
      </c>
      <c r="F19">
        <v>18</v>
      </c>
    </row>
    <row r="20" spans="2:9" x14ac:dyDescent="0.3">
      <c r="B20" s="2" t="s">
        <v>23</v>
      </c>
      <c r="C20" s="1">
        <v>1005645</v>
      </c>
      <c r="E20" s="2" t="s">
        <v>22</v>
      </c>
      <c r="F20">
        <v>21</v>
      </c>
    </row>
    <row r="21" spans="2:9" x14ac:dyDescent="0.3">
      <c r="B21" s="2" t="s">
        <v>21</v>
      </c>
      <c r="C21" s="1">
        <v>201151</v>
      </c>
      <c r="E21" s="2" t="s">
        <v>20</v>
      </c>
      <c r="F21">
        <v>18</v>
      </c>
      <c r="H21" s="3" t="s">
        <v>2</v>
      </c>
      <c r="I21" t="s">
        <v>1</v>
      </c>
    </row>
    <row r="22" spans="2:9" x14ac:dyDescent="0.3">
      <c r="B22" s="2" t="s">
        <v>19</v>
      </c>
      <c r="C22" s="1">
        <v>212281</v>
      </c>
      <c r="E22" s="2" t="s">
        <v>18</v>
      </c>
      <c r="F22">
        <v>28</v>
      </c>
      <c r="H22" s="2" t="s">
        <v>17</v>
      </c>
      <c r="I22" s="1">
        <v>313783</v>
      </c>
    </row>
    <row r="23" spans="2:9" x14ac:dyDescent="0.3">
      <c r="B23" s="2" t="s">
        <v>5</v>
      </c>
      <c r="C23" s="1">
        <v>297372</v>
      </c>
      <c r="E23" s="2" t="s">
        <v>16</v>
      </c>
      <c r="F23">
        <v>21</v>
      </c>
      <c r="H23" s="2" t="s">
        <v>15</v>
      </c>
      <c r="I23" s="1">
        <v>331930</v>
      </c>
    </row>
    <row r="24" spans="2:9" x14ac:dyDescent="0.3">
      <c r="B24" s="2" t="s">
        <v>14</v>
      </c>
      <c r="C24" s="1">
        <v>740831</v>
      </c>
      <c r="E24" s="2" t="s">
        <v>13</v>
      </c>
      <c r="F24">
        <v>20</v>
      </c>
      <c r="H24" s="2" t="s">
        <v>12</v>
      </c>
      <c r="I24" s="1">
        <v>408194</v>
      </c>
    </row>
    <row r="25" spans="2:9" x14ac:dyDescent="0.3">
      <c r="B25" s="2" t="s">
        <v>11</v>
      </c>
      <c r="C25" s="1">
        <v>733842</v>
      </c>
      <c r="E25" s="2" t="s">
        <v>10</v>
      </c>
      <c r="F25">
        <v>24</v>
      </c>
      <c r="H25" s="2" t="s">
        <v>9</v>
      </c>
      <c r="I25" s="1">
        <v>574682</v>
      </c>
    </row>
    <row r="26" spans="2:9" x14ac:dyDescent="0.3">
      <c r="B26" s="2" t="s">
        <v>0</v>
      </c>
      <c r="C26" s="1">
        <v>3520984</v>
      </c>
      <c r="E26" s="2" t="s">
        <v>8</v>
      </c>
      <c r="F26">
        <v>29</v>
      </c>
      <c r="H26" s="2" t="s">
        <v>7</v>
      </c>
      <c r="I26" s="1">
        <v>586176</v>
      </c>
    </row>
    <row r="27" spans="2:9" x14ac:dyDescent="0.3">
      <c r="E27" s="2" t="s">
        <v>6</v>
      </c>
      <c r="F27">
        <v>27</v>
      </c>
      <c r="H27" s="2" t="s">
        <v>5</v>
      </c>
      <c r="I27" s="1">
        <v>631585</v>
      </c>
    </row>
    <row r="28" spans="2:9" x14ac:dyDescent="0.3">
      <c r="E28" s="2" t="s">
        <v>4</v>
      </c>
      <c r="F28">
        <v>19</v>
      </c>
      <c r="H28" s="2" t="s">
        <v>3</v>
      </c>
      <c r="I28" s="1">
        <v>674634</v>
      </c>
    </row>
    <row r="29" spans="2:9" x14ac:dyDescent="0.3">
      <c r="E29" s="2" t="s">
        <v>0</v>
      </c>
      <c r="F29">
        <v>225</v>
      </c>
      <c r="H29" s="2" t="s">
        <v>0</v>
      </c>
      <c r="I29" s="1">
        <v>3520984</v>
      </c>
    </row>
    <row r="31" spans="2:9" x14ac:dyDescent="0.3">
      <c r="B31" s="3" t="s">
        <v>2</v>
      </c>
      <c r="C31" t="s">
        <v>1</v>
      </c>
    </row>
    <row r="32" spans="2:9" x14ac:dyDescent="0.3">
      <c r="B32" s="2">
        <v>0</v>
      </c>
      <c r="C32" s="1">
        <v>99400</v>
      </c>
    </row>
    <row r="33" spans="2:3" x14ac:dyDescent="0.3">
      <c r="B33" s="2">
        <v>1</v>
      </c>
      <c r="C33" s="1">
        <v>129309</v>
      </c>
    </row>
    <row r="34" spans="2:3" x14ac:dyDescent="0.3">
      <c r="B34" s="2">
        <v>2</v>
      </c>
      <c r="C34" s="1">
        <v>152940</v>
      </c>
    </row>
    <row r="35" spans="2:3" x14ac:dyDescent="0.3">
      <c r="B35" s="2">
        <v>3</v>
      </c>
      <c r="C35" s="1">
        <v>146810</v>
      </c>
    </row>
    <row r="36" spans="2:3" x14ac:dyDescent="0.3">
      <c r="B36" s="2">
        <v>4</v>
      </c>
      <c r="C36" s="1">
        <v>114700</v>
      </c>
    </row>
    <row r="37" spans="2:3" x14ac:dyDescent="0.3">
      <c r="B37" s="2">
        <v>5</v>
      </c>
      <c r="C37" s="1">
        <v>156198</v>
      </c>
    </row>
    <row r="38" spans="2:3" x14ac:dyDescent="0.3">
      <c r="B38" s="2">
        <v>6</v>
      </c>
      <c r="C38" s="1">
        <v>177211</v>
      </c>
    </row>
    <row r="39" spans="2:3" x14ac:dyDescent="0.3">
      <c r="B39" s="2">
        <v>7</v>
      </c>
      <c r="C39" s="1">
        <v>147749</v>
      </c>
    </row>
    <row r="40" spans="2:3" x14ac:dyDescent="0.3">
      <c r="B40" s="2">
        <v>8</v>
      </c>
      <c r="C40" s="1">
        <v>133617</v>
      </c>
    </row>
    <row r="41" spans="2:3" x14ac:dyDescent="0.3">
      <c r="B41" s="2">
        <v>9</v>
      </c>
      <c r="C41" s="1">
        <v>153678</v>
      </c>
    </row>
    <row r="42" spans="2:3" x14ac:dyDescent="0.3">
      <c r="B42" s="2">
        <v>10</v>
      </c>
      <c r="C42" s="1">
        <v>94985</v>
      </c>
    </row>
    <row r="43" spans="2:3" x14ac:dyDescent="0.3">
      <c r="B43" s="2">
        <v>11</v>
      </c>
      <c r="C43" s="1">
        <v>130287</v>
      </c>
    </row>
    <row r="44" spans="2:3" x14ac:dyDescent="0.3">
      <c r="B44" s="2">
        <v>12</v>
      </c>
      <c r="C44" s="1">
        <v>162394</v>
      </c>
    </row>
    <row r="45" spans="2:3" x14ac:dyDescent="0.3">
      <c r="B45" s="2">
        <v>13</v>
      </c>
      <c r="C45" s="1">
        <v>152340</v>
      </c>
    </row>
    <row r="46" spans="2:3" x14ac:dyDescent="0.3">
      <c r="B46" s="2">
        <v>14</v>
      </c>
      <c r="C46" s="1">
        <v>126406</v>
      </c>
    </row>
    <row r="47" spans="2:3" x14ac:dyDescent="0.3">
      <c r="B47" s="2">
        <v>15</v>
      </c>
      <c r="C47" s="1">
        <v>163586</v>
      </c>
    </row>
    <row r="48" spans="2:3" x14ac:dyDescent="0.3">
      <c r="B48" s="2">
        <v>16</v>
      </c>
      <c r="C48" s="1">
        <v>128797</v>
      </c>
    </row>
    <row r="49" spans="2:3" x14ac:dyDescent="0.3">
      <c r="B49" s="2">
        <v>17</v>
      </c>
      <c r="C49" s="1">
        <v>155373</v>
      </c>
    </row>
    <row r="50" spans="2:3" x14ac:dyDescent="0.3">
      <c r="B50" s="2">
        <v>18</v>
      </c>
      <c r="C50" s="1">
        <v>173118</v>
      </c>
    </row>
    <row r="51" spans="2:3" x14ac:dyDescent="0.3">
      <c r="B51" s="2">
        <v>19</v>
      </c>
      <c r="C51" s="1">
        <v>185771</v>
      </c>
    </row>
    <row r="52" spans="2:3" x14ac:dyDescent="0.3">
      <c r="B52" s="2">
        <v>20</v>
      </c>
      <c r="C52" s="1">
        <v>186426</v>
      </c>
    </row>
    <row r="53" spans="2:3" x14ac:dyDescent="0.3">
      <c r="B53" s="2">
        <v>21</v>
      </c>
      <c r="C53" s="1">
        <v>155466</v>
      </c>
    </row>
    <row r="54" spans="2:3" x14ac:dyDescent="0.3">
      <c r="B54" s="2">
        <v>22</v>
      </c>
      <c r="C54" s="1">
        <v>125912</v>
      </c>
    </row>
    <row r="55" spans="2:3" x14ac:dyDescent="0.3">
      <c r="B55" s="2">
        <v>23</v>
      </c>
      <c r="C55" s="1">
        <v>168511</v>
      </c>
    </row>
    <row r="56" spans="2:3" x14ac:dyDescent="0.3">
      <c r="B56" s="2" t="s">
        <v>0</v>
      </c>
      <c r="C56" s="1">
        <v>3520984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CD7FA9-1BDC-4015-BE59-6AF25A2396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Geya Varshini</dc:creator>
  <cp:lastModifiedBy>Geya Varshini</cp:lastModifiedBy>
  <dcterms:created xsi:type="dcterms:W3CDTF">2026-02-17T06:49:20Z</dcterms:created>
  <dcterms:modified xsi:type="dcterms:W3CDTF">2026-02-17T06:51:37Z</dcterms:modified>
</cp:coreProperties>
</file>